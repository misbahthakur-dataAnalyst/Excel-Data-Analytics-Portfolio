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85" documentId="8_{BA363663-3B1F-4F39-B338-690368508AD2}" xr6:coauthVersionLast="47" xr6:coauthVersionMax="47" xr10:uidLastSave="{931209A1-9ADB-4951-AB2A-CBB8876CECB3}"/>
  <bookViews>
    <workbookView xWindow="-110" yWindow="-110" windowWidth="19420" windowHeight="10300" xr2:uid="{CE0982B8-3306-4272-9B31-8DA078511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</calcChain>
</file>

<file path=xl/sharedStrings.xml><?xml version="1.0" encoding="utf-8"?>
<sst xmlns="http://schemas.openxmlformats.org/spreadsheetml/2006/main" count="41" uniqueCount="27">
  <si>
    <t>date</t>
  </si>
  <si>
    <t>category</t>
  </si>
  <si>
    <t>sub-category</t>
  </si>
  <si>
    <t>amount</t>
  </si>
  <si>
    <t>payment mode</t>
  </si>
  <si>
    <t>grocery</t>
  </si>
  <si>
    <t>fruits and veg</t>
  </si>
  <si>
    <t>cash</t>
  </si>
  <si>
    <t>milk</t>
  </si>
  <si>
    <t>upi</t>
  </si>
  <si>
    <t>food</t>
  </si>
  <si>
    <t>restaurant</t>
  </si>
  <si>
    <t>27-01-23</t>
  </si>
  <si>
    <t>23-3-23</t>
  </si>
  <si>
    <t>zomato</t>
  </si>
  <si>
    <t>24-6-23</t>
  </si>
  <si>
    <t>chocolate</t>
  </si>
  <si>
    <t>bread and milk</t>
  </si>
  <si>
    <t>essentials</t>
  </si>
  <si>
    <t>shampoo</t>
  </si>
  <si>
    <t>food oil</t>
  </si>
  <si>
    <t>sum</t>
  </si>
  <si>
    <t>sumif</t>
  </si>
  <si>
    <t>sumsifs</t>
  </si>
  <si>
    <t>count</t>
  </si>
  <si>
    <t>countifs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</si>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</sst>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2AEB21-DB7F-4641-B2EE-8F9A9F86F3C6}" name="Table1" displayName="Table1" ref="A1:E10" totalsRowShown="0">
  <autoFilter ref="A1:E10" xr:uid="{232AEB21-DB7F-4641-B2EE-8F9A9F86F3C6}"/>
  <tableColumns count="5">
    <tableColumn id="1" xr3:uid="{C7947713-1FDD-4E65-B1A7-5813A9BCAC88}" name="date" dataDxfId="0"/>
    <tableColumn id="2" xr3:uid="{25694463-2E58-467B-BF09-D773E3C6AC0B}" name="category"/>
    <tableColumn id="3" xr3:uid="{2DBA7529-D2E4-4F49-8A3A-7C8A9362C785}" name="sub-category"/>
    <tableColumn id="4" xr3:uid="{E7E314AB-8D2C-4981-B4C5-9B0745C849AE}" name="amount"/>
    <tableColumn id="5" xr3:uid="{C92748A6-7916-4505-9005-072057604364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8B51-A4CF-4D03-B8E6-C5A03A9317DB}">
  <dimension ref="A1:K10"/>
  <sheetViews>
    <sheetView tabSelected="1" workbookViewId="0">
      <selection activeCell="K3" sqref="K3"/>
    </sheetView>
  </sheetViews>
  <sheetFormatPr defaultRowHeight="14.5" x14ac:dyDescent="0.35"/>
  <cols>
    <col min="1" max="1" width="9.08984375" bestFit="1" customWidth="1"/>
    <col min="2" max="2" width="12.08984375" customWidth="1"/>
    <col min="3" max="3" width="14.08984375" customWidth="1"/>
    <col min="4" max="4" width="9.26953125" customWidth="1"/>
    <col min="5" max="5" width="15.269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H1" t="s">
        <v>23</v>
      </c>
      <c r="I1" t="s">
        <v>24</v>
      </c>
      <c r="J1" t="s">
        <v>26</v>
      </c>
      <c r="K1" t="s">
        <v>25</v>
      </c>
    </row>
    <row r="2" spans="1:11" x14ac:dyDescent="0.35">
      <c r="A2" s="1">
        <v>45170</v>
      </c>
      <c r="B2" t="s">
        <v>5</v>
      </c>
      <c r="C2" t="s">
        <v>6</v>
      </c>
      <c r="D2">
        <v>456</v>
      </c>
      <c r="E2" t="s">
        <v>7</v>
      </c>
      <c r="F2">
        <f>SUM(Table1[[#All],[amount]])</f>
        <v>3215</v>
      </c>
      <c r="G2">
        <f>SUMIF(Table1[payment mode],"upi",Table1[amount])</f>
        <v>2173</v>
      </c>
      <c r="H2">
        <f>SUMIFS(Table1[amount],Table1[payment mode],"upi",Table1[category],"food")</f>
        <v>1147</v>
      </c>
      <c r="I2">
        <f>COUNT(Table1[amount])</f>
        <v>9</v>
      </c>
      <c r="J2">
        <f>COUNTIF(Table1[payment mode],"cash")</f>
        <v>3</v>
      </c>
      <c r="K2">
        <f>COUNTIFS(Table1[payment mode],"cash",Table1[category],"food")</f>
        <v>1</v>
      </c>
    </row>
    <row r="3" spans="1:11" x14ac:dyDescent="0.35">
      <c r="A3" s="1">
        <v>45200</v>
      </c>
      <c r="B3" t="s">
        <v>5</v>
      </c>
      <c r="C3" t="s">
        <v>8</v>
      </c>
      <c r="D3">
        <v>26</v>
      </c>
      <c r="E3" t="s">
        <v>9</v>
      </c>
    </row>
    <row r="4" spans="1:11" x14ac:dyDescent="0.35">
      <c r="A4" s="1">
        <v>45323</v>
      </c>
      <c r="B4" t="s">
        <v>10</v>
      </c>
      <c r="C4" t="s">
        <v>11</v>
      </c>
      <c r="D4">
        <v>890</v>
      </c>
      <c r="E4" t="s">
        <v>9</v>
      </c>
    </row>
    <row r="5" spans="1:11" x14ac:dyDescent="0.35">
      <c r="A5" t="s">
        <v>12</v>
      </c>
      <c r="B5" t="s">
        <v>10</v>
      </c>
      <c r="C5" t="s">
        <v>6</v>
      </c>
      <c r="D5">
        <v>530</v>
      </c>
      <c r="E5" t="s">
        <v>7</v>
      </c>
    </row>
    <row r="6" spans="1:11" x14ac:dyDescent="0.35">
      <c r="A6" t="s">
        <v>13</v>
      </c>
      <c r="B6" t="s">
        <v>10</v>
      </c>
      <c r="C6" t="s">
        <v>14</v>
      </c>
      <c r="D6">
        <v>257</v>
      </c>
      <c r="E6" t="s">
        <v>9</v>
      </c>
    </row>
    <row r="7" spans="1:11" x14ac:dyDescent="0.35">
      <c r="A7" t="s">
        <v>15</v>
      </c>
      <c r="B7" t="s">
        <v>5</v>
      </c>
      <c r="C7" t="s">
        <v>16</v>
      </c>
      <c r="D7">
        <v>100</v>
      </c>
      <c r="E7" t="s">
        <v>9</v>
      </c>
    </row>
    <row r="8" spans="1:11" x14ac:dyDescent="0.35">
      <c r="A8" s="1">
        <v>45017</v>
      </c>
      <c r="B8" t="s">
        <v>5</v>
      </c>
      <c r="C8" t="s">
        <v>17</v>
      </c>
      <c r="D8">
        <v>56</v>
      </c>
      <c r="E8" t="s">
        <v>7</v>
      </c>
    </row>
    <row r="9" spans="1:11" x14ac:dyDescent="0.35">
      <c r="A9" s="1">
        <v>45083</v>
      </c>
      <c r="B9" t="s">
        <v>18</v>
      </c>
      <c r="C9" t="s">
        <v>19</v>
      </c>
      <c r="D9">
        <v>780</v>
      </c>
      <c r="E9" t="s">
        <v>9</v>
      </c>
    </row>
    <row r="10" spans="1:11" x14ac:dyDescent="0.35">
      <c r="A10" s="1">
        <v>45114</v>
      </c>
      <c r="B10" t="s">
        <v>18</v>
      </c>
      <c r="C10" t="s">
        <v>20</v>
      </c>
      <c r="D10">
        <v>120</v>
      </c>
      <c r="E10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2026-09-23T09:14:35Z</dcterms:created>
  <dcterms:modified xsi:type="dcterms:W3CDTF">2026-09-27T05:32:51Z</dcterms:modified>
</cp:coreProperties>
</file>