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bd1cd776b0dad/Documents/"/>
    </mc:Choice>
  </mc:AlternateContent>
  <xr:revisionPtr revIDLastSave="178" documentId="8_{635DA1AA-7229-467F-8407-0D4E8F48AA95}" xr6:coauthVersionLast="47" xr6:coauthVersionMax="47" xr10:uidLastSave="{D37C104C-FFEA-49E7-BFFD-1E207CD6750E}"/>
  <bookViews>
    <workbookView xWindow="-110" yWindow="-110" windowWidth="19420" windowHeight="10300" xr2:uid="{1418EF00-3C01-4895-9C80-8E5613E17D33}"/>
  </bookViews>
  <sheets>
    <sheet name="Sheet1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5" i="1"/>
  <c r="M4" i="1"/>
  <c r="M3" i="1"/>
  <c r="K2" i="1"/>
  <c r="K3" i="1"/>
  <c r="K4" i="1"/>
  <c r="K5" i="1"/>
  <c r="K6" i="1"/>
  <c r="K7" i="1"/>
  <c r="K8" i="1"/>
  <c r="K9" i="1"/>
  <c r="K10" i="1"/>
  <c r="K11" i="1"/>
  <c r="J2" i="1"/>
  <c r="J3" i="1"/>
  <c r="J4" i="1"/>
  <c r="J5" i="1"/>
  <c r="J6" i="1"/>
  <c r="J7" i="1"/>
  <c r="J8" i="1"/>
  <c r="J9" i="1"/>
  <c r="J10" i="1"/>
  <c r="J11" i="1"/>
  <c r="I2" i="1"/>
  <c r="I3" i="1"/>
  <c r="I4" i="1"/>
  <c r="I5" i="1"/>
  <c r="I6" i="1"/>
  <c r="I7" i="1"/>
  <c r="I8" i="1"/>
  <c r="I9" i="1"/>
  <c r="I10" i="1"/>
  <c r="I11" i="1"/>
</calcChain>
</file>

<file path=xl/sharedStrings.xml><?xml version="1.0" encoding="utf-8"?>
<sst xmlns="http://schemas.openxmlformats.org/spreadsheetml/2006/main" count="54" uniqueCount="51">
  <si>
    <t>Patient_Name</t>
  </si>
  <si>
    <t>Patient_Age</t>
  </si>
  <si>
    <t>Blood_Group</t>
  </si>
  <si>
    <t>Hemoglobin_g_Dl</t>
  </si>
  <si>
    <t>Blood_Sugar_mg_Dl</t>
  </si>
  <si>
    <t>Admission_Date</t>
  </si>
  <si>
    <t>Discharge_Date</t>
  </si>
  <si>
    <t>P001</t>
  </si>
  <si>
    <t>amit sharma</t>
  </si>
  <si>
    <t>o+</t>
  </si>
  <si>
    <t>priya patel</t>
  </si>
  <si>
    <t>A-</t>
  </si>
  <si>
    <t>B+</t>
  </si>
  <si>
    <t>rahul verma</t>
  </si>
  <si>
    <t>SNEHA REDDY</t>
  </si>
  <si>
    <t>AB+</t>
  </si>
  <si>
    <t>aniket das</t>
  </si>
  <si>
    <t>O-</t>
  </si>
  <si>
    <t>vikas khanna</t>
  </si>
  <si>
    <t>deepa nair</t>
  </si>
  <si>
    <t>A+</t>
  </si>
  <si>
    <t>mohit joshi</t>
  </si>
  <si>
    <t>O+</t>
  </si>
  <si>
    <t>kavita rao</t>
  </si>
  <si>
    <t>B-</t>
  </si>
  <si>
    <t>ryan dsouza</t>
  </si>
  <si>
    <t>AB-</t>
  </si>
  <si>
    <t>15/02/2026</t>
  </si>
  <si>
    <t>Raw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</si>
  <si>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</si>
  <si>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</si>
  <si>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</si>
  <si>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</si>
  <si>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</si>
  <si>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</si>
  <si>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</si>
  <si>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</si>
  <si>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</si>
  <si>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Anemia_Risk</t>
  </si>
  <si>
    <t>Diabetic_Status</t>
  </si>
  <si>
    <t>Criticality_Altert</t>
  </si>
  <si>
    <t>enter patient ID:</t>
  </si>
  <si>
    <t>Patient Name:</t>
  </si>
  <si>
    <t>Criticality status:</t>
  </si>
  <si>
    <t>Search_input</t>
  </si>
  <si>
    <t>Search_Result</t>
  </si>
  <si>
    <t>Row Labels</t>
  </si>
  <si>
    <t>CRITICAL ALERT</t>
  </si>
  <si>
    <t>STABLE</t>
  </si>
  <si>
    <t>Grand Total</t>
  </si>
  <si>
    <t>Count of Criticality_Altert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</si>
</sst>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[Healthcare_Clinical_Operations_Dashboard.xlsx]Sheet1!PivotTable1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Sheet1!$Q$1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Sheet1!$P$2:$P$4</c:f>
              <c:strCache>
                <c:ptCount val="2"/>
                <c:pt idx="0">
                  <c:v>CRITICAL ALERT</c:v>
                </c:pt>
                <c:pt idx="1">
                  <c:v>STABLE</c:v>
                </c:pt>
              </c:strCache>
            </c:strRef>
          </c:cat>
          <c:val>
            <c:numRef>
              <c:f>Sheet1!$Q$2:$Q$4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B-40B6-A683-62F6B47D8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560425</xdr:colOff>
      <xdr:row>7</xdr:row>
      <xdr:rowOff>7383</xdr:rowOff>
    </xdr:from>
    <xdr:to>
      <xdr:col>19</xdr:col>
      <xdr:colOff>141030</xdr:colOff>
      <xdr:row>21</xdr:row>
      <xdr:rowOff>164360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EB716-C6C6-0EB4-7D5C-B2FD85A84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6.539266435182" createdVersion="8" refreshedVersion="8" minRefreshableVersion="3" recordCount="10" xr:uid="{888142BD-85DA-43BF-8021-9EE404F3CDF0}">
  <cacheSource type="worksheet">
    <worksheetSource name="Table1"/>
  </cacheSource>
  <cacheFields count="13">
    <cacheField name="Raw" numFmtId="0">
      <sharedItems/>
    </cacheField>
    <cacheField name="Patient_Name" numFmtId="0">
      <sharedItems/>
    </cacheField>
    <cacheField name="Patient_Age" numFmtId="0">
      <sharedItems containsSemiMixedTypes="0" containsString="0" containsNumber="1" containsInteger="1" minValue="23" maxValue="72"/>
    </cacheField>
    <cacheField name="Blood_Group" numFmtId="0">
      <sharedItems/>
    </cacheField>
    <cacheField name="Hemoglobin_g_Dl" numFmtId="0">
      <sharedItems containsSemiMixedTypes="0" containsString="0" containsNumber="1" minValue="7.5" maxValue="14.1"/>
    </cacheField>
    <cacheField name="Blood_Sugar_mg_Dl" numFmtId="0">
      <sharedItems containsSemiMixedTypes="0" containsString="0" containsNumber="1" containsInteger="1" minValue="85" maxValue="240"/>
    </cacheField>
    <cacheField name="Admission_Date" numFmtId="14">
      <sharedItems containsSemiMixedTypes="0" containsNonDate="0" containsDate="1" containsString="0" minDate="2026-01-02T00:00:00" maxDate="2026-05-03T00:00:00"/>
    </cacheField>
    <cacheField name="Discharge_Date" numFmtId="0">
      <sharedItems containsDate="1" containsMixedTypes="1" minDate="2026-01-14T00:00:00" maxDate="2026-05-03T00:00:00"/>
    </cacheField>
    <cacheField name="Anemia_Risk" numFmtId="0">
      <sharedItems/>
    </cacheField>
    <cacheField name="Diabetic_Status" numFmtId="0">
      <sharedItems/>
    </cacheField>
    <cacheField name="Criticality_Altert" numFmtId="0">
      <sharedItems count="2">
        <s v="CRITICAL ALERT"/>
        <s v="STABLE"/>
      </sharedItems>
    </cacheField>
    <cacheField name="Search_input" numFmtId="0">
      <sharedItems containsBlank="1"/>
    </cacheField>
    <cacheField name="Search_Resul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P001"/>
    <s v="amit sharma"/>
    <n v="65"/>
    <s v="o+"/>
    <n v="9.8000000000000007"/>
    <n v="210"/>
    <d v="2026-01-18T00:00:00"/>
    <d v="2026-01-18T00:00:00"/>
    <s v="HIGH RISK"/>
    <s v="DIABETIC"/>
    <x v="0"/>
    <s v="enter patient ID:"/>
    <s v="P001"/>
  </r>
  <r>
    <s v="P002"/>
    <s v="priya patel"/>
    <n v="28"/>
    <s v="A-"/>
    <n v="13.2"/>
    <n v="95"/>
    <d v="2026-01-12T00:00:00"/>
    <d v="2026-01-14T00:00:00"/>
    <s v="NORMAL"/>
    <s v="NORMAL"/>
    <x v="1"/>
    <s v="Patient Name:"/>
    <s v="amit sharma"/>
  </r>
  <r>
    <s v="P003"/>
    <s v="rahul verma"/>
    <n v="72"/>
    <s v="B+"/>
    <n v="10.5"/>
    <n v="145"/>
    <d v="2026-01-15T00:00:00"/>
    <d v="2026-01-25T00:00:00"/>
    <s v="HIGH RISK"/>
    <s v="DIABETIC"/>
    <x v="0"/>
    <s v="Criticality status:"/>
    <s v="CRITICAL ALERT"/>
  </r>
  <r>
    <s v="P004"/>
    <s v="SNEHA REDDY"/>
    <n v="45"/>
    <s v="AB+"/>
    <n v="8.9"/>
    <n v="180"/>
    <d v="2026-01-18T00:00:00"/>
    <d v="2026-01-21T00:00:00"/>
    <s v="HIGH RISK"/>
    <s v="DIABETIC"/>
    <x v="1"/>
    <s v="P005"/>
    <s v="aniket das"/>
  </r>
  <r>
    <s v="P005"/>
    <s v="aniket das"/>
    <n v="58"/>
    <s v="O-"/>
    <n v="14.1"/>
    <n v="110"/>
    <d v="2026-01-20T00:00:00"/>
    <d v="2026-01-22T00:00:00"/>
    <s v="NORMAL"/>
    <s v="NORMAL"/>
    <x v="1"/>
    <m/>
    <s v="STABLE"/>
  </r>
  <r>
    <s v="P006"/>
    <s v="vikas khanna"/>
    <n v="61"/>
    <s v="B+"/>
    <n v="9.1999999999999993"/>
    <n v="240"/>
    <d v="2026-01-22T00:00:00"/>
    <d v="2026-02-02T00:00:00"/>
    <s v="HIGH RISK"/>
    <s v="DIABETIC"/>
    <x v="0"/>
    <m/>
    <m/>
  </r>
  <r>
    <s v="P007"/>
    <s v="deepa nair"/>
    <n v="34"/>
    <s v="A+"/>
    <n v="11.5"/>
    <n v="85"/>
    <d v="2026-01-25T00:00:00"/>
    <d v="2026-01-28T00:00:00"/>
    <s v="NORMAL"/>
    <s v="NORMAL"/>
    <x v="1"/>
    <m/>
    <m/>
  </r>
  <r>
    <s v="P008"/>
    <s v="mohit joshi"/>
    <n v="68"/>
    <s v="o+"/>
    <n v="10"/>
    <n v="135"/>
    <d v="2026-01-02T00:00:00"/>
    <d v="2026-05-02T00:00:00"/>
    <s v="HIGH RISK"/>
    <s v="NORMAL"/>
    <x v="0"/>
    <m/>
    <m/>
  </r>
  <r>
    <s v="P009"/>
    <s v="kavita rao"/>
    <n v="23"/>
    <s v="B-"/>
    <n v="12.8"/>
    <n v="90"/>
    <d v="2026-03-02T00:00:00"/>
    <d v="2026-05-02T00:00:00"/>
    <s v="NORMAL"/>
    <s v="NORMAL"/>
    <x v="1"/>
    <m/>
    <m/>
  </r>
  <r>
    <s v="P010"/>
    <s v="ryan dsouza"/>
    <n v="55"/>
    <s v="AB-"/>
    <n v="7.5"/>
    <n v="195"/>
    <d v="2026-05-02T00:00:00"/>
    <s v="15/02/2026"/>
    <s v="HIGH RISK"/>
    <s v="DIABETIC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0EB08-9623-406A-B7B4-97BCBE80FCA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1:Q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Criticality_Altert" fld="1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15E77-814E-4903-B8E6-8354BE3AA072}" name="Table1" displayName="Table1" ref="A1:M11" totalsRowShown="0">
  <autoFilter ref="A1:M11" xr:uid="{F0F15E77-814E-4903-B8E6-8354BE3AA072}"/>
  <tableColumns count="13">
    <tableColumn id="1" xr3:uid="{8EB359DB-524D-48A3-BD2C-992B47E1C85E}" name="Raw"/>
    <tableColumn id="2" xr3:uid="{2D920E55-7F9B-44B8-B385-8D3B00A8589A}" name="Patient_Name"/>
    <tableColumn id="3" xr3:uid="{3F1AF156-BDA3-4D71-92B4-A1779726BE98}" name="Patient_Age"/>
    <tableColumn id="4" xr3:uid="{DB063FB8-1D64-4A90-B6F1-4272DC3B7AEE}" name="Blood_Group"/>
    <tableColumn id="5" xr3:uid="{E5EAE415-CBA1-4BC3-95F6-DEE30D1694EB}" name="Hemoglobin_g_Dl"/>
    <tableColumn id="6" xr3:uid="{9C3089BF-D3DD-4855-880A-FDC2DFE9872B}" name="Blood_Sugar_mg_Dl"/>
    <tableColumn id="7" xr3:uid="{5888EE3B-AEC9-4E25-BEF2-C26C8CC7DC68}" name="Admission_Date" dataDxfId="9"/>
    <tableColumn id="8" xr3:uid="{864BF43B-95E7-457A-B1FA-D6C2FE5E371F}" name="Discharge_Date" dataDxfId="8"/>
    <tableColumn id="9" xr3:uid="{B73AC934-9C88-4835-AF28-94373645261E}" name="Anemia_Risk" dataDxfId="7">
      <calculatedColumnFormula>IF(E2&lt;11, "HIGH RISK", "NORMAL")</calculatedColumnFormula>
    </tableColumn>
    <tableColumn id="10" xr3:uid="{662F1751-5A6D-410B-B006-E17290059F37}" name="Diabetic_Status" dataDxfId="6">
      <calculatedColumnFormula>IF(F2&gt;140,"DIABETIC","NORMAL")</calculatedColumnFormula>
    </tableColumn>
    <tableColumn id="11" xr3:uid="{2BDF2DC2-AACD-474E-9C64-263E877BC033}" name="Criticality_Altert" dataDxfId="5">
      <calculatedColumnFormula>IF(OR(C2&gt;60,AND(E2&lt;10,F2&gt;200)),"CRITICAL ALERT","STABLE")</calculatedColumnFormula>
    </tableColumn>
    <tableColumn id="12" xr3:uid="{46541E3E-7A2E-492B-B7DE-9219242BDB16}" name="Search_input" dataDxfId="1"/>
    <tableColumn id="13" xr3:uid="{5984B214-BC8B-4F50-BD0A-378073494B8B}" name="Search_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9A34-CABB-402F-9F7A-519F8C0F43A9}">
  <dimension ref="A1:Q11"/>
  <sheetViews>
    <sheetView tabSelected="1" topLeftCell="I1" zoomScale="86" workbookViewId="0">
      <selection activeCell="M17" sqref="M17"/>
    </sheetView>
  </sheetViews>
  <sheetFormatPr defaultRowHeight="14.5" x14ac:dyDescent="0.35"/>
  <cols>
    <col min="1" max="1" width="15.81640625" customWidth="1"/>
    <col min="2" max="2" width="14.54296875" customWidth="1"/>
    <col min="3" max="3" width="12.6328125" customWidth="1"/>
    <col min="4" max="4" width="13.453125" customWidth="1"/>
    <col min="5" max="5" width="17.26953125" customWidth="1"/>
    <col min="6" max="6" width="19.08984375" customWidth="1"/>
    <col min="7" max="7" width="16.36328125" customWidth="1"/>
    <col min="8" max="8" width="15.90625" customWidth="1"/>
    <col min="9" max="9" width="13.81640625" customWidth="1"/>
    <col min="10" max="10" width="16.08984375" customWidth="1"/>
    <col min="11" max="11" width="17.26953125" customWidth="1"/>
    <col min="12" max="12" width="13.54296875" customWidth="1"/>
    <col min="13" max="13" width="14.81640625" customWidth="1"/>
    <col min="16" max="16" width="14.1796875" bestFit="1" customWidth="1"/>
    <col min="17" max="17" width="22.1796875" bestFit="1" customWidth="1"/>
  </cols>
  <sheetData>
    <row r="1" spans="1:17" x14ac:dyDescent="0.3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38</v>
      </c>
      <c r="J1" t="s">
        <v>39</v>
      </c>
      <c r="K1" t="s">
        <v>40</v>
      </c>
      <c r="L1" t="s">
        <v>44</v>
      </c>
      <c r="M1" t="s">
        <v>45</v>
      </c>
      <c r="P1" s="4" t="s">
        <v>46</v>
      </c>
      <c r="Q1" t="s">
        <v>50</v>
      </c>
    </row>
    <row r="2" spans="1:17" x14ac:dyDescent="0.35">
      <c r="A2" t="s">
        <v>7</v>
      </c>
      <c r="B2" t="s">
        <v>8</v>
      </c>
      <c r="C2">
        <v>65</v>
      </c>
      <c r="D2" t="s">
        <v>9</v>
      </c>
      <c r="E2">
        <v>9.8000000000000007</v>
      </c>
      <c r="F2">
        <v>210</v>
      </c>
      <c r="G2" s="1">
        <v>46040</v>
      </c>
      <c r="H2" s="1">
        <v>46040</v>
      </c>
      <c r="I2" t="str">
        <f t="shared" ref="I2:I11" si="0">IF(E2&lt;11, "HIGH RISK", "NORMAL")</f>
        <v>HIGH RISK</v>
      </c>
      <c r="J2" t="str">
        <f t="shared" ref="J2:J11" si="1">IF(F2&gt;140,"DIABETIC","NORMAL")</f>
        <v>DIABETIC</v>
      </c>
      <c r="K2" t="str">
        <f t="shared" ref="K2:K11" si="2">IF(OR(C2&gt;60,AND(E2&lt;10,F2&gt;200)),"CRITICAL ALERT","STABLE")</f>
        <v>CRITICAL ALERT</v>
      </c>
      <c r="L2" s="3" t="s">
        <v>41</v>
      </c>
      <c r="M2" s="3" t="s">
        <v>7</v>
      </c>
      <c r="P2" s="5" t="s">
        <v>47</v>
      </c>
      <c r="Q2" s="3">
        <v>4</v>
      </c>
    </row>
    <row r="3" spans="1:17" x14ac:dyDescent="0.35">
      <c r="A3" t="s">
        <v>29</v>
      </c>
      <c r="B3" t="s">
        <v>10</v>
      </c>
      <c r="C3">
        <v>28</v>
      </c>
      <c r="D3" t="s">
        <v>11</v>
      </c>
      <c r="E3">
        <v>13.2</v>
      </c>
      <c r="F3">
        <v>95</v>
      </c>
      <c r="G3" s="1">
        <v>46034</v>
      </c>
      <c r="H3" s="1">
        <v>46036</v>
      </c>
      <c r="I3" t="str">
        <f t="shared" si="0"/>
        <v>NORMAL</v>
      </c>
      <c r="J3" t="str">
        <f t="shared" si="1"/>
        <v>NORMAL</v>
      </c>
      <c r="K3" t="str">
        <f t="shared" si="2"/>
        <v>STABLE</v>
      </c>
      <c r="L3" s="3" t="s">
        <v>42</v>
      </c>
      <c r="M3" s="3" t="str">
        <f>_xlfn.XLOOKUP(M2,Table1[Raw],Table1[Patient_Name])</f>
        <v>amit sharma</v>
      </c>
      <c r="P3" s="5" t="s">
        <v>48</v>
      </c>
      <c r="Q3" s="3">
        <v>6</v>
      </c>
    </row>
    <row r="4" spans="1:17" x14ac:dyDescent="0.35">
      <c r="A4" t="s">
        <v>30</v>
      </c>
      <c r="B4" t="s">
        <v>13</v>
      </c>
      <c r="C4">
        <v>72</v>
      </c>
      <c r="D4" t="s">
        <v>12</v>
      </c>
      <c r="E4">
        <v>10.5</v>
      </c>
      <c r="F4">
        <v>145</v>
      </c>
      <c r="G4" s="1">
        <v>46037</v>
      </c>
      <c r="H4" s="1">
        <v>46047</v>
      </c>
      <c r="I4" t="str">
        <f t="shared" si="0"/>
        <v>HIGH RISK</v>
      </c>
      <c r="J4" t="str">
        <f t="shared" si="1"/>
        <v>DIABETIC</v>
      </c>
      <c r="K4" t="str">
        <f t="shared" si="2"/>
        <v>CRITICAL ALERT</v>
      </c>
      <c r="L4" s="3" t="s">
        <v>43</v>
      </c>
      <c r="M4" s="3" t="str">
        <f>_xlfn.XLOOKUP(M2,Table1[Raw],Table1[Criticality_Altert])</f>
        <v>CRITICAL ALERT</v>
      </c>
      <c r="P4" s="5" t="s">
        <v>49</v>
      </c>
      <c r="Q4" s="3">
        <v>10</v>
      </c>
    </row>
    <row r="5" spans="1:17" x14ac:dyDescent="0.35">
      <c r="A5" t="s">
        <v>31</v>
      </c>
      <c r="B5" t="s">
        <v>14</v>
      </c>
      <c r="C5">
        <v>45</v>
      </c>
      <c r="D5" t="s">
        <v>15</v>
      </c>
      <c r="E5">
        <v>8.9</v>
      </c>
      <c r="F5">
        <v>180</v>
      </c>
      <c r="G5" s="1">
        <v>46040</v>
      </c>
      <c r="H5" s="1">
        <v>46043</v>
      </c>
      <c r="I5" t="str">
        <f t="shared" si="0"/>
        <v>HIGH RISK</v>
      </c>
      <c r="J5" t="str">
        <f t="shared" si="1"/>
        <v>DIABETIC</v>
      </c>
      <c r="K5" t="str">
        <f t="shared" si="2"/>
        <v>STABLE</v>
      </c>
      <c r="L5" s="3" t="s">
        <v>32</v>
      </c>
      <c r="M5" s="3" t="str">
        <f>_xlfn.XLOOKUP(Table1[[#This Row],[Search_input]],Table1[Raw],Table1[Patient_Name])</f>
        <v>aniket das</v>
      </c>
    </row>
    <row r="6" spans="1:17" x14ac:dyDescent="0.35">
      <c r="A6" t="s">
        <v>32</v>
      </c>
      <c r="B6" t="s">
        <v>16</v>
      </c>
      <c r="C6">
        <v>58</v>
      </c>
      <c r="D6" t="s">
        <v>17</v>
      </c>
      <c r="E6">
        <v>14.1</v>
      </c>
      <c r="F6">
        <v>110</v>
      </c>
      <c r="G6" s="1">
        <v>46042</v>
      </c>
      <c r="H6" s="1">
        <v>46044</v>
      </c>
      <c r="I6" t="str">
        <f t="shared" si="0"/>
        <v>NORMAL</v>
      </c>
      <c r="J6" t="str">
        <f t="shared" si="1"/>
        <v>NORMAL</v>
      </c>
      <c r="K6" t="str">
        <f t="shared" si="2"/>
        <v>STABLE</v>
      </c>
      <c r="L6" s="3"/>
      <c r="M6" s="3" t="str">
        <f>_xlfn.XLOOKUP(L5,Table1[Raw],Table1[Criticality_Altert])</f>
        <v>STABLE</v>
      </c>
    </row>
    <row r="7" spans="1:17" x14ac:dyDescent="0.35">
      <c r="A7" t="s">
        <v>33</v>
      </c>
      <c r="B7" t="s">
        <v>18</v>
      </c>
      <c r="C7">
        <v>61</v>
      </c>
      <c r="D7" t="s">
        <v>12</v>
      </c>
      <c r="E7">
        <v>9.1999999999999993</v>
      </c>
      <c r="F7">
        <v>240</v>
      </c>
      <c r="G7" s="1">
        <v>46044</v>
      </c>
      <c r="H7" s="1">
        <v>46055</v>
      </c>
      <c r="I7" t="str">
        <f t="shared" si="0"/>
        <v>HIGH RISK</v>
      </c>
      <c r="J7" t="str">
        <f t="shared" si="1"/>
        <v>DIABETIC</v>
      </c>
      <c r="K7" t="str">
        <f t="shared" si="2"/>
        <v>CRITICAL ALERT</v>
      </c>
      <c r="L7" s="3"/>
      <c r="M7" s="3"/>
    </row>
    <row r="8" spans="1:17" x14ac:dyDescent="0.35">
      <c r="A8" t="s">
        <v>34</v>
      </c>
      <c r="B8" t="s">
        <v>19</v>
      </c>
      <c r="C8">
        <v>34</v>
      </c>
      <c r="D8" t="s">
        <v>20</v>
      </c>
      <c r="E8">
        <v>11.5</v>
      </c>
      <c r="F8">
        <v>85</v>
      </c>
      <c r="G8" s="1">
        <v>46047</v>
      </c>
      <c r="H8" s="1">
        <v>46050</v>
      </c>
      <c r="I8" t="str">
        <f t="shared" si="0"/>
        <v>NORMAL</v>
      </c>
      <c r="J8" t="str">
        <f t="shared" si="1"/>
        <v>NORMAL</v>
      </c>
      <c r="K8" t="str">
        <f t="shared" si="2"/>
        <v>STABLE</v>
      </c>
      <c r="L8" s="3"/>
      <c r="M8" s="3"/>
    </row>
    <row r="9" spans="1:17" x14ac:dyDescent="0.35">
      <c r="A9" t="s">
        <v>35</v>
      </c>
      <c r="B9" t="s">
        <v>21</v>
      </c>
      <c r="C9">
        <v>68</v>
      </c>
      <c r="D9" t="s">
        <v>22</v>
      </c>
      <c r="E9">
        <v>10</v>
      </c>
      <c r="F9">
        <v>135</v>
      </c>
      <c r="G9" s="1">
        <v>46024</v>
      </c>
      <c r="H9" s="1">
        <v>46144</v>
      </c>
      <c r="I9" t="str">
        <f t="shared" si="0"/>
        <v>HIGH RISK</v>
      </c>
      <c r="J9" t="str">
        <f t="shared" si="1"/>
        <v>NORMAL</v>
      </c>
      <c r="K9" t="str">
        <f t="shared" si="2"/>
        <v>CRITICAL ALERT</v>
      </c>
      <c r="L9" s="3"/>
      <c r="M9" s="3"/>
    </row>
    <row r="10" spans="1:17" x14ac:dyDescent="0.35">
      <c r="A10" t="s">
        <v>36</v>
      </c>
      <c r="B10" t="s">
        <v>23</v>
      </c>
      <c r="C10">
        <v>23</v>
      </c>
      <c r="D10" t="s">
        <v>24</v>
      </c>
      <c r="E10">
        <v>12.8</v>
      </c>
      <c r="F10">
        <v>90</v>
      </c>
      <c r="G10" s="1">
        <v>46083</v>
      </c>
      <c r="H10" s="1">
        <v>46144</v>
      </c>
      <c r="I10" t="str">
        <f t="shared" si="0"/>
        <v>NORMAL</v>
      </c>
      <c r="J10" t="str">
        <f t="shared" si="1"/>
        <v>NORMAL</v>
      </c>
      <c r="K10" t="str">
        <f t="shared" si="2"/>
        <v>STABLE</v>
      </c>
      <c r="L10" s="3"/>
      <c r="M10" s="3"/>
    </row>
    <row r="11" spans="1:17" x14ac:dyDescent="0.35">
      <c r="A11" t="s">
        <v>37</v>
      </c>
      <c r="B11" t="s">
        <v>25</v>
      </c>
      <c r="C11">
        <v>55</v>
      </c>
      <c r="D11" t="s">
        <v>26</v>
      </c>
      <c r="E11">
        <v>7.5</v>
      </c>
      <c r="F11">
        <v>195</v>
      </c>
      <c r="G11" s="1">
        <v>46144</v>
      </c>
      <c r="H11" s="2" t="s">
        <v>27</v>
      </c>
      <c r="I11" t="str">
        <f t="shared" si="0"/>
        <v>HIGH RISK</v>
      </c>
      <c r="J11" t="str">
        <f t="shared" si="1"/>
        <v>DIABETIC</v>
      </c>
      <c r="K11" t="str">
        <f t="shared" si="2"/>
        <v>STABLE</v>
      </c>
      <c r="L11" s="3"/>
      <c r="M11" s="3"/>
    </row>
  </sheetData>
  <phoneticPr fontId="1" type="noConversion"/>
  <conditionalFormatting sqref="K1:K11">
    <cfRule type="containsText" dxfId="2" priority="2" operator="containsText" text="CRITICAL_ALERT">
      <formula>NOT(ISERROR(SEARCH("CRITICAL_ALERT",K1)))</formula>
    </cfRule>
    <cfRule type="containsText" dxfId="3" priority="1" operator="containsText" text="CRITICAL ALERT">
      <formula>NOT(ISERROR(SEARCH("CRITICAL ALERT",K1)))</formula>
    </cfRule>
  </conditionalFormatting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9193B7-4AC2-427C-82F8-1232AF8681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thakur</dc:creator>
  <cp:lastModifiedBy>misbah thakur</cp:lastModifiedBy>
  <dcterms:created xsi:type="dcterms:W3CDTF">2026-10-01T05:54:28Z</dcterms:created>
  <dcterms:modified xsi:type="dcterms:W3CDTF">2026-10-01T07:30:44Z</dcterms:modified>
</cp:coreProperties>
</file>