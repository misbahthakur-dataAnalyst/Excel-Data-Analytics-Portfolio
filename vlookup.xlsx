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bd1cd776b0dad/Documents/"/>
    </mc:Choice>
  </mc:AlternateContent>
  <xr:revisionPtr revIDLastSave="222" documentId="8_{415211D9-F6D1-458E-A838-5187754017B0}" xr6:coauthVersionLast="47" xr6:coauthVersionMax="47" xr10:uidLastSave="{B80E863C-B0CC-4558-9C98-3F70BB95E88C}"/>
  <bookViews>
    <workbookView xWindow="-110" yWindow="-110" windowWidth="19420" windowHeight="10300" xr2:uid="{C74E90A3-2156-41AE-995F-FD283977F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6" i="1"/>
  <c r="G12" i="1"/>
  <c r="G5" i="1"/>
</calcChain>
</file>

<file path=xl/sharedStrings.xml><?xml version="1.0" encoding="utf-8"?>
<sst xmlns="http://schemas.openxmlformats.org/spreadsheetml/2006/main" count="51" uniqueCount="28">
  <si>
    <t>EEID</t>
  </si>
  <si>
    <t>FULL NAME</t>
  </si>
  <si>
    <t>JOB TITLE</t>
  </si>
  <si>
    <t>ANNUAL SALARY</t>
  </si>
  <si>
    <t>E02387</t>
  </si>
  <si>
    <t>Emily Davis</t>
  </si>
  <si>
    <t>Sr. Manger</t>
  </si>
  <si>
    <t>E04105</t>
  </si>
  <si>
    <t>Theodore dinh</t>
  </si>
  <si>
    <t>Technical Architect</t>
  </si>
  <si>
    <t>E02572</t>
  </si>
  <si>
    <t>Luna Sanders</t>
  </si>
  <si>
    <t>Director</t>
  </si>
  <si>
    <t>E02832</t>
  </si>
  <si>
    <t>Penelope Jordan</t>
  </si>
  <si>
    <t>Computer Systems Manager</t>
  </si>
  <si>
    <t>E04332</t>
  </si>
  <si>
    <t>Joshua Gupta</t>
  </si>
  <si>
    <t>Account Represtative</t>
  </si>
  <si>
    <t>E09887</t>
  </si>
  <si>
    <t>ruby barnes</t>
  </si>
  <si>
    <t>manager</t>
  </si>
  <si>
    <t>salary</t>
  </si>
  <si>
    <t>name</t>
  </si>
  <si>
    <t>luna sanders</t>
  </si>
  <si>
    <t>index+match</t>
  </si>
  <si>
    <t>match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</si>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</sst>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6" fontId="0" fillId="0" borderId="0" xfId="0" applyNumberFormat="1"/>
    <xf numFmtId="9" fontId="0" fillId="0" borderId="0" xfId="0" applyNumberFormat="1"/>
    <xf numFmtId="0" fontId="0" fillId="2" borderId="1" xfId="0" applyFont="1" applyFill="1" applyBorder="1"/>
  </cellXfs>
  <cellStyles count="1">
    <cellStyle name="Normal" xfId="0" builtinId="0"/>
  </cellStyles>
  <dxfs count="1"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C5BE2-1CE3-4E56-81E1-951BFE6BA010}" name="Table1" displayName="Table1" ref="A10:D16" totalsRowShown="0">
  <autoFilter ref="A10:D16" xr:uid="{409C5BE2-1CE3-4E56-81E1-951BFE6BA010}"/>
  <tableColumns count="4">
    <tableColumn id="1" xr3:uid="{AAAACFF4-5C53-4EEF-BFA8-D9D63BC8CABF}" name="EEID"/>
    <tableColumn id="2" xr3:uid="{9AEDED8E-CCBC-4E1C-901D-231E8BB29618}" name="FULL NAME"/>
    <tableColumn id="3" xr3:uid="{40EE6E51-676A-4EC1-9B39-1B19435FE6F3}" name="JOB TITLE"/>
    <tableColumn id="4" xr3:uid="{2E1D4EE7-4710-4CCA-AE57-CB34468370C7}" name="ANNUAL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50FA-AC28-4035-8186-B5547544479B}">
  <dimension ref="A1:N19"/>
  <sheetViews>
    <sheetView tabSelected="1" zoomScale="82" workbookViewId="0">
      <selection activeCell="M15" sqref="M15"/>
    </sheetView>
  </sheetViews>
  <sheetFormatPr defaultRowHeight="14.5" x14ac:dyDescent="0.35"/>
  <cols>
    <col min="2" max="2" width="15.54296875" customWidth="1"/>
    <col min="3" max="3" width="24.08984375" customWidth="1"/>
    <col min="4" max="4" width="16.54296875" customWidth="1"/>
    <col min="5" max="5" width="20.90625" customWidth="1"/>
    <col min="6" max="6" width="13.81640625" customWidth="1"/>
    <col min="7" max="7" width="11.7265625" customWidth="1"/>
    <col min="9" max="9" width="14.7265625" customWidth="1"/>
    <col min="10" max="10" width="15.54296875" customWidth="1"/>
    <col min="12" max="12" width="13.453125" customWidth="1"/>
    <col min="13" max="13" width="10.81640625" customWidth="1"/>
    <col min="14" max="14" width="11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</row>
    <row r="2" spans="1:14" x14ac:dyDescent="0.35">
      <c r="A2" t="s">
        <v>4</v>
      </c>
      <c r="B2" t="s">
        <v>5</v>
      </c>
      <c r="C2" t="s">
        <v>6</v>
      </c>
      <c r="D2" s="2">
        <v>141604</v>
      </c>
      <c r="I2" s="1"/>
      <c r="J2" s="2"/>
      <c r="K2" s="3"/>
      <c r="N2" s="1"/>
    </row>
    <row r="3" spans="1:14" x14ac:dyDescent="0.35">
      <c r="A3" t="s">
        <v>7</v>
      </c>
      <c r="B3" t="s">
        <v>8</v>
      </c>
      <c r="C3" t="s">
        <v>9</v>
      </c>
      <c r="D3" s="2">
        <v>99975</v>
      </c>
      <c r="J3" s="2"/>
      <c r="K3" s="3"/>
    </row>
    <row r="4" spans="1:14" x14ac:dyDescent="0.35">
      <c r="A4" t="s">
        <v>10</v>
      </c>
      <c r="B4" t="s">
        <v>11</v>
      </c>
      <c r="C4" t="s">
        <v>12</v>
      </c>
      <c r="D4" s="2">
        <v>163099</v>
      </c>
      <c r="F4" t="s">
        <v>23</v>
      </c>
      <c r="G4" t="s">
        <v>22</v>
      </c>
      <c r="J4" s="2"/>
      <c r="K4" s="3"/>
    </row>
    <row r="5" spans="1:14" x14ac:dyDescent="0.35">
      <c r="A5" t="s">
        <v>13</v>
      </c>
      <c r="B5" t="s">
        <v>14</v>
      </c>
      <c r="C5" t="s">
        <v>15</v>
      </c>
      <c r="D5" s="2">
        <v>50994</v>
      </c>
      <c r="F5" t="s">
        <v>24</v>
      </c>
      <c r="G5">
        <f>VLOOKUP(F5,B2:D7,3,FALSE)</f>
        <v>163099</v>
      </c>
      <c r="J5" s="2"/>
      <c r="K5" s="3"/>
    </row>
    <row r="6" spans="1:14" x14ac:dyDescent="0.35">
      <c r="A6" t="s">
        <v>16</v>
      </c>
      <c r="B6" t="s">
        <v>17</v>
      </c>
      <c r="C6" t="s">
        <v>18</v>
      </c>
      <c r="D6" s="2">
        <v>119746</v>
      </c>
      <c r="J6" s="2"/>
      <c r="K6" s="3"/>
      <c r="N6" s="1"/>
    </row>
    <row r="7" spans="1:14" x14ac:dyDescent="0.35">
      <c r="A7" t="s">
        <v>19</v>
      </c>
      <c r="B7" t="s">
        <v>20</v>
      </c>
      <c r="C7" t="s">
        <v>21</v>
      </c>
      <c r="D7" s="2">
        <v>113527</v>
      </c>
      <c r="J7" s="2"/>
      <c r="K7" s="3"/>
    </row>
    <row r="10" spans="1:14" x14ac:dyDescent="0.35">
      <c r="A10" t="s">
        <v>0</v>
      </c>
      <c r="B10" t="s">
        <v>1</v>
      </c>
      <c r="C10" t="s">
        <v>2</v>
      </c>
      <c r="D10" t="s">
        <v>3</v>
      </c>
    </row>
    <row r="11" spans="1:14" x14ac:dyDescent="0.35">
      <c r="A11" t="s">
        <v>4</v>
      </c>
      <c r="B11" t="s">
        <v>5</v>
      </c>
      <c r="C11" t="s">
        <v>6</v>
      </c>
      <c r="D11" s="2">
        <v>141604</v>
      </c>
      <c r="F11" t="s">
        <v>25</v>
      </c>
      <c r="G11" t="s">
        <v>26</v>
      </c>
    </row>
    <row r="12" spans="1:14" x14ac:dyDescent="0.35">
      <c r="A12" t="s">
        <v>7</v>
      </c>
      <c r="B12" t="s">
        <v>8</v>
      </c>
      <c r="C12" t="s">
        <v>9</v>
      </c>
      <c r="D12" s="2">
        <v>99975</v>
      </c>
      <c r="F12" s="2">
        <v>141604</v>
      </c>
      <c r="G12" t="str">
        <f>INDEX(B2:B7,MATCH(F12,D2:D7))</f>
        <v>Emily Davis</v>
      </c>
    </row>
    <row r="13" spans="1:14" x14ac:dyDescent="0.35">
      <c r="A13" t="s">
        <v>10</v>
      </c>
      <c r="B13" t="s">
        <v>11</v>
      </c>
      <c r="C13" t="s">
        <v>12</v>
      </c>
      <c r="D13" s="2">
        <v>163099</v>
      </c>
    </row>
    <row r="14" spans="1:14" x14ac:dyDescent="0.35">
      <c r="A14" t="s">
        <v>13</v>
      </c>
      <c r="B14" t="s">
        <v>14</v>
      </c>
      <c r="C14" t="s">
        <v>15</v>
      </c>
      <c r="D14" s="2">
        <v>50994</v>
      </c>
    </row>
    <row r="15" spans="1:14" x14ac:dyDescent="0.35">
      <c r="A15" t="s">
        <v>16</v>
      </c>
      <c r="B15" t="s">
        <v>17</v>
      </c>
      <c r="C15" t="s">
        <v>18</v>
      </c>
      <c r="D15" s="2">
        <v>119746</v>
      </c>
      <c r="F15" t="s">
        <v>27</v>
      </c>
    </row>
    <row r="16" spans="1:14" x14ac:dyDescent="0.35">
      <c r="A16" t="s">
        <v>19</v>
      </c>
      <c r="B16" t="s">
        <v>20</v>
      </c>
      <c r="C16" t="s">
        <v>21</v>
      </c>
      <c r="D16" s="2">
        <v>113527</v>
      </c>
      <c r="F16" s="2">
        <v>141604</v>
      </c>
      <c r="G16" t="str">
        <f>_xlfn.XLOOKUP(F16,D2:D7,B2:B7)</f>
        <v>Emily Davis</v>
      </c>
    </row>
    <row r="19" spans="6:7" x14ac:dyDescent="0.35">
      <c r="F19" s="4" t="s">
        <v>4</v>
      </c>
      <c r="G19">
        <f>VLOOKUP(F19,Table1[],4)</f>
        <v>141604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thakur</dc:creator>
  <cp:lastModifiedBy>misbah thakur</cp:lastModifiedBy>
  <dcterms:created xsi:type="dcterms:W3CDTF">2026-09-27T06:13:51Z</dcterms:created>
  <dcterms:modified xsi:type="dcterms:W3CDTF">2026-09-27T07:23:11Z</dcterms:modified>
</cp:coreProperties>
</file>