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5abd1cd776b0dad/Documents/"/>
    </mc:Choice>
  </mc:AlternateContent>
  <xr:revisionPtr revIDLastSave="159" documentId="8_{CD462765-0426-4021-982E-2F7AAB6A8767}" xr6:coauthVersionLast="47" xr6:coauthVersionMax="47" xr10:uidLastSave="{8BD402F5-09ED-49A8-B80E-D9743B06D34F}"/>
  <bookViews>
    <workbookView xWindow="-110" yWindow="-110" windowWidth="19420" windowHeight="10300" xr2:uid="{AE97D9F5-CB6A-47B2-A9D9-B6997C51DC3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8" i="1" l="1"/>
  <c r="C6" i="1"/>
  <c r="C5" i="1"/>
  <c r="C4" i="1"/>
  <c r="C3" i="1"/>
  <c r="C2" i="1"/>
</calcChain>
</file>

<file path=xl/sharedStrings.xml><?xml version="1.0" encoding="utf-8"?>
<sst xmlns="http://schemas.openxmlformats.org/spreadsheetml/2006/main" count="37" uniqueCount="35">
  <si>
    <t>name</t>
  </si>
  <si>
    <t>salary</t>
  </si>
  <si>
    <t>bonus</t>
  </si>
  <si>
    <t>range</t>
  </si>
  <si>
    <t>emily davis</t>
  </si>
  <si>
    <t>1,41,000</t>
  </si>
  <si>
    <t>theodore dinh</t>
  </si>
  <si>
    <t>luna sanders</t>
  </si>
  <si>
    <t>1,00,000</t>
  </si>
  <si>
    <t>penelope jordan</t>
  </si>
  <si>
    <t>1,23,456</t>
  </si>
  <si>
    <t>1,50,000</t>
  </si>
  <si>
    <t>austin vo</t>
  </si>
  <si>
    <t>2,01,345</t>
  </si>
  <si>
    <t>EEID</t>
  </si>
  <si>
    <t>Full Name</t>
  </si>
  <si>
    <t>Job Title</t>
  </si>
  <si>
    <t>Annual Salary</t>
  </si>
  <si>
    <t>E0287</t>
  </si>
  <si>
    <t>Emily Davis</t>
  </si>
  <si>
    <t>Sr. Manger</t>
  </si>
  <si>
    <t>E04105</t>
  </si>
  <si>
    <t>Theodore Dinh</t>
  </si>
  <si>
    <t>Technical Architect</t>
  </si>
  <si>
    <t>E02572</t>
  </si>
  <si>
    <t>Luna Sanders</t>
  </si>
  <si>
    <t>Director</t>
  </si>
  <si>
    <t>E02832</t>
  </si>
  <si>
    <t>Penelope Jordan</t>
  </si>
  <si>
    <t>Computer System Manager</t>
  </si>
  <si>
    <t>E01639</t>
  </si>
  <si>
    <t>Austin Vo</t>
  </si>
  <si>
    <t>Sr. Analyst</t>
  </si>
  <si>
    <t>EMP ID</t>
  </si>
  <si>
    <t>job title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</si>
</sst>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8" formatCode="&quot;$&quot;#,##0"/>
  </numFmts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8">
    <xf numFmtId="0" fontId="0" fillId="0" borderId="0" xfId="0"/>
    <xf numFmtId="3" fontId="0" fillId="0" borderId="0" xfId="0" applyNumberFormat="1"/>
    <xf numFmtId="9" fontId="0" fillId="0" borderId="0" xfId="0" applyNumberFormat="1"/>
    <xf numFmtId="0" fontId="0" fillId="0" borderId="0" xfId="0" applyAlignment="1">
      <alignment horizontal="right"/>
    </xf>
    <xf numFmtId="0" fontId="0" fillId="2" borderId="1" xfId="0" applyFill="1" applyBorder="1"/>
    <xf numFmtId="164" fontId="0" fillId="0" borderId="0" xfId="0" applyNumberFormat="1"/>
    <xf numFmtId="0" fontId="0" fillId="0" borderId="1" xfId="0" applyFont="1" applyBorder="1"/>
    <xf numFmtId="168" fontId="0" fillId="0" borderId="0" xfId="0" applyNumberFormat="1"/>
  </cellXfs>
  <cellStyles count="1">
    <cellStyle name="Normal" xfId="0" builtinId="0"/>
  </cellStyles>
  <dxfs count="1">
    <dxf>
      <numFmt numFmtId="164" formatCode="&quot;$&quot;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F4F031A-6A71-44BE-A1A7-DECB994722DD}" name="Table1" displayName="Table1" ref="A10:D15" totalsRowShown="0">
  <autoFilter ref="A10:D15" xr:uid="{BF4F031A-6A71-44BE-A1A7-DECB994722DD}"/>
  <sortState xmlns:xlrd2="http://schemas.microsoft.com/office/spreadsheetml/2017/richdata2" ref="A11:D15">
    <sortCondition ref="D11:D15"/>
  </sortState>
  <tableColumns count="4">
    <tableColumn id="1" xr3:uid="{A85E37A0-631C-4585-828D-31211A1E44B1}" name="EEID"/>
    <tableColumn id="2" xr3:uid="{0AC5F70B-0654-4330-A1DE-B894CEBD5610}" name="Full Name"/>
    <tableColumn id="3" xr3:uid="{C9725C4D-F2C8-44DD-B243-66D54843DC41}" name="Job Title"/>
    <tableColumn id="4" xr3:uid="{4677F98F-7FC3-4528-AEBE-A4D590ECABF0}" name="Annual Salary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2B585D-6AD2-4B2C-889A-72994EA91CD4}">
  <dimension ref="A1:I18"/>
  <sheetViews>
    <sheetView tabSelected="1" topLeftCell="A3" zoomScale="107" workbookViewId="0">
      <selection activeCell="M11" sqref="M11"/>
    </sheetView>
  </sheetViews>
  <sheetFormatPr defaultRowHeight="14.5" x14ac:dyDescent="0.35"/>
  <cols>
    <col min="1" max="1" width="14.453125" customWidth="1"/>
    <col min="2" max="2" width="16.54296875" customWidth="1"/>
    <col min="3" max="3" width="23.81640625" customWidth="1"/>
    <col min="4" max="4" width="17.81640625" customWidth="1"/>
    <col min="9" max="9" width="9.90625" bestFit="1" customWidth="1"/>
    <col min="13" max="13" width="11.7265625" customWidth="1"/>
  </cols>
  <sheetData>
    <row r="1" spans="1:9" x14ac:dyDescent="0.35">
      <c r="A1" t="s">
        <v>0</v>
      </c>
      <c r="B1" t="s">
        <v>1</v>
      </c>
      <c r="C1" t="s">
        <v>2</v>
      </c>
      <c r="E1" t="s">
        <v>3</v>
      </c>
      <c r="F1" t="s">
        <v>2</v>
      </c>
    </row>
    <row r="2" spans="1:9" x14ac:dyDescent="0.35">
      <c r="A2" t="s">
        <v>4</v>
      </c>
      <c r="B2" s="3" t="s">
        <v>5</v>
      </c>
      <c r="C2" s="2">
        <f>LOOKUP(B2,E2:F5)</f>
        <v>0.15</v>
      </c>
      <c r="E2" s="1">
        <v>50000</v>
      </c>
      <c r="F2" s="2">
        <v>0.05</v>
      </c>
    </row>
    <row r="3" spans="1:9" x14ac:dyDescent="0.35">
      <c r="A3" t="s">
        <v>6</v>
      </c>
      <c r="B3" s="1">
        <v>73976</v>
      </c>
      <c r="C3" s="2">
        <f>LOOKUP(B3,E2:F5)</f>
        <v>0.05</v>
      </c>
      <c r="E3" s="1">
        <v>80000</v>
      </c>
      <c r="F3" s="2">
        <v>0.1</v>
      </c>
    </row>
    <row r="4" spans="1:9" x14ac:dyDescent="0.35">
      <c r="A4" t="s">
        <v>7</v>
      </c>
      <c r="B4" s="1">
        <v>87567</v>
      </c>
      <c r="C4" s="2">
        <f>LOOKUP(B4,E2:F5)</f>
        <v>0.1</v>
      </c>
      <c r="E4" t="s">
        <v>8</v>
      </c>
      <c r="F4" s="2">
        <v>0.15</v>
      </c>
    </row>
    <row r="5" spans="1:9" x14ac:dyDescent="0.35">
      <c r="A5" t="s">
        <v>9</v>
      </c>
      <c r="B5" s="3" t="s">
        <v>10</v>
      </c>
      <c r="C5" s="2">
        <f>LOOKUP(B5,E2:F5)</f>
        <v>0.15</v>
      </c>
      <c r="E5" t="s">
        <v>11</v>
      </c>
      <c r="F5" s="2">
        <v>0.2</v>
      </c>
    </row>
    <row r="6" spans="1:9" x14ac:dyDescent="0.35">
      <c r="A6" t="s">
        <v>12</v>
      </c>
      <c r="B6" s="3" t="s">
        <v>13</v>
      </c>
      <c r="C6" s="2">
        <f>LOOKUP(B6,E2:F5)</f>
        <v>0.2</v>
      </c>
    </row>
    <row r="10" spans="1:9" x14ac:dyDescent="0.35">
      <c r="A10" t="s">
        <v>14</v>
      </c>
      <c r="B10" t="s">
        <v>15</v>
      </c>
      <c r="C10" t="s">
        <v>16</v>
      </c>
      <c r="D10" t="s">
        <v>17</v>
      </c>
    </row>
    <row r="11" spans="1:9" x14ac:dyDescent="0.35">
      <c r="A11" t="s">
        <v>27</v>
      </c>
      <c r="B11" t="s">
        <v>28</v>
      </c>
      <c r="C11" t="s">
        <v>29</v>
      </c>
      <c r="D11" s="5">
        <v>84913</v>
      </c>
    </row>
    <row r="12" spans="1:9" x14ac:dyDescent="0.35">
      <c r="A12" t="s">
        <v>30</v>
      </c>
      <c r="B12" t="s">
        <v>31</v>
      </c>
      <c r="C12" t="s">
        <v>32</v>
      </c>
      <c r="D12" s="5">
        <v>95409</v>
      </c>
    </row>
    <row r="13" spans="1:9" x14ac:dyDescent="0.35">
      <c r="A13" t="s">
        <v>21</v>
      </c>
      <c r="B13" t="s">
        <v>22</v>
      </c>
      <c r="C13" t="s">
        <v>23</v>
      </c>
      <c r="D13" s="5">
        <v>99975</v>
      </c>
    </row>
    <row r="14" spans="1:9" x14ac:dyDescent="0.35">
      <c r="A14" t="s">
        <v>18</v>
      </c>
      <c r="B14" t="s">
        <v>19</v>
      </c>
      <c r="C14" t="s">
        <v>20</v>
      </c>
      <c r="D14" s="5">
        <v>141604</v>
      </c>
    </row>
    <row r="15" spans="1:9" x14ac:dyDescent="0.35">
      <c r="A15" t="s">
        <v>24</v>
      </c>
      <c r="B15" t="s">
        <v>25</v>
      </c>
      <c r="C15" t="s">
        <v>26</v>
      </c>
      <c r="D15" s="5">
        <v>163099</v>
      </c>
      <c r="I15" s="6"/>
    </row>
    <row r="16" spans="1:9" x14ac:dyDescent="0.35">
      <c r="I16" s="7"/>
    </row>
    <row r="17" spans="3:4" x14ac:dyDescent="0.35">
      <c r="C17" t="s">
        <v>33</v>
      </c>
      <c r="D17" t="s">
        <v>34</v>
      </c>
    </row>
    <row r="18" spans="3:4" x14ac:dyDescent="0.35">
      <c r="C18" s="4" t="s">
        <v>27</v>
      </c>
      <c r="D18" t="str">
        <f>_xlfn.XLOOKUP(C18,Table1[EEID],Table1[Job Title])</f>
        <v>Computer System Manager</v>
      </c>
    </row>
  </sheetData>
  <dataValidations count="2">
    <dataValidation type="list" allowBlank="1" showInputMessage="1" showErrorMessage="1" sqref="I15" xr:uid="{023F04C8-3224-4CA2-B574-536B41EAE949}">
      <formula1>$A$11:$A$15</formula1>
    </dataValidation>
    <dataValidation type="list" allowBlank="1" showInputMessage="1" showErrorMessage="1" sqref="I16" xr:uid="{F989EF82-AD3E-414E-8FA4-E2C23883C2B4}">
      <formula1>$B$10:$D$10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misbah thakur</dc:creator>
  <cp:lastModifiedBy>misbah thakur</cp:lastModifiedBy>
  <dcterms:created xsi:type="dcterms:W3CDTF">2026-09-28T11:11:58Z</dcterms:created>
  <dcterms:modified xsi:type="dcterms:W3CDTF">2026-09-28T12:30:35Z</dcterms:modified>
</cp:coreProperties>
</file>